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1" sheetId="1" r:id="rId4"/>
    <sheet state="visible" name="Test Report" sheetId="2" r:id="rId5"/>
  </sheets>
  <definedNames>
    <definedName name="ACTION">#REF!</definedName>
  </definedNames>
  <calcPr/>
</workbook>
</file>

<file path=xl/sharedStrings.xml><?xml version="1.0" encoding="utf-8"?>
<sst xmlns="http://schemas.openxmlformats.org/spreadsheetml/2006/main" count="133" uniqueCount="111">
  <si>
    <t>Module Code</t>
  </si>
  <si>
    <t>Module1 – Product Number Validation</t>
  </si>
  <si>
    <t>Pass</t>
  </si>
  <si>
    <t>Test requirement</t>
  </si>
  <si>
    <t>Verify Product Number input, format, lookup, and taxable indicator.
Includes validation of:
• 10-digit masking (numeric only, leading zeros allowed)
• Length validation (BVA 9–10–11 digits)
• Lookup of existing/non-existing products
• Taxable flag display (“*” for taxable products)
• Error messages for invalid input</t>
  </si>
  <si>
    <t>Fail</t>
  </si>
  <si>
    <t>Tester</t>
  </si>
  <si>
    <t>Lan Anh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</si>
  <si>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</si>
  <si>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</si>
  <si>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</si>
  <si>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</si>
  <si>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</si>
  <si>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</si>
  <si>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</si>
  <si>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</si>
  <si>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Test data</t>
  </si>
  <si>
    <t>Result</t>
  </si>
  <si>
    <t>Description</t>
  </si>
  <si>
    <t>CART-001</t>
  </si>
  <si>
    <t>Verify add first item moves cart from Empty to HasItems</t>
  </si>
  <si>
    <t>1) Open PDP of SKU-A 
2) Set qty=1 
3) Click Add to Cart</t>
  </si>
  <si>
    <t>New cart line created; subtotal for line = price×qty; cart total &gt; 0; state = HasItems</t>
  </si>
  <si>
    <t>SKU-A price=100000, stock=10</t>
  </si>
  <si>
    <t>E1 – happy path</t>
  </si>
  <si>
    <t>CART-002</t>
  </si>
  <si>
    <t>Verify add another item (different SKU)</t>
  </si>
  <si>
    <t>1) From HasItems 
2) PDP SKU-B 
3) Add to Cart</t>
  </si>
  <si>
    <t>Number of lines +1; total updated correctly; still HasItems</t>
  </si>
  <si>
    <t>SKU-B price=150000, stock=5</t>
  </si>
  <si>
    <t>E2 – AddItem</t>
  </si>
  <si>
    <t>CART-003</t>
  </si>
  <si>
    <t>Verify update quantity within stock</t>
  </si>
  <si>
    <t>1) Cart has line SKU-A qty=1 
2) Click + (qty→2)</t>
  </si>
  <si>
    <t>Line subtotal and cart total increase properly; still HasItems</t>
  </si>
  <si>
    <t>SKU-A stock=10</t>
  </si>
  <si>
    <t>E2 – UpdateQty (+1)</t>
  </si>
  <si>
    <t>CART-004</t>
  </si>
  <si>
    <t>Verify remove a non-last line keeps cart in HasItems</t>
  </si>
  <si>
    <t>1) Cart has SKU-A &amp; SKU-B 
2) Remove SKU-B</t>
  </si>
  <si>
    <t>Still ≥1 line; totals recomputed; state HasItems</t>
  </si>
  <si>
    <t>A qty=1, B qty=1</t>
  </si>
  <si>
    <t>E2 – Remove (not last)</t>
  </si>
  <si>
    <t>CART-005</t>
  </si>
  <si>
    <t>Verify removing last line returns to Empty</t>
  </si>
  <si>
    <t>1) Cart has only SKU-A qty=1 
2) Remove SKU-A</t>
  </si>
  <si>
    <t>Cart becomes empty; total=0; state Empty</t>
  </si>
  <si>
    <t>A qty=1</t>
  </si>
  <si>
    <t>E3 – Remove last</t>
  </si>
  <si>
    <t>CART-006</t>
  </si>
  <si>
    <t>Verify ClearCart empties cart</t>
  </si>
  <si>
    <t>1) Cart has ≥1 line 
2) Click Clear Cart 
3) Confirm</t>
  </si>
  <si>
    <t>All lines removed; total=0; state Empty</t>
  </si>
  <si>
    <t>Any 2 lines</t>
  </si>
  <si>
    <t>E3 – ClearCart</t>
  </si>
  <si>
    <t>CART-007</t>
  </si>
  <si>
    <t>Verify ViewCart shows correct summary</t>
  </si>
  <si>
    <t>1) From HasItems click View Cart</t>
  </si>
  <si>
    <t>Navigate to Reviewing page; names, prices, qty, subtotal, total displayed correctly</t>
  </si>
  <si>
    <t>A qty=2 (100k), B qty=1 (150k)</t>
  </si>
  <si>
    <t>E4 – ViewCart</t>
  </si>
  <si>
    <t>CART-008</t>
  </si>
  <si>
    <t>Verify ContinueShopping from Reviewing</t>
  </si>
  <si>
    <t>1) On Reviewing 
2) Click Continue Shopping</t>
  </si>
  <si>
    <t>Navigate back to catalog; cart contents preserved; state → HasItems</t>
  </si>
  <si>
    <t>A qty=2, B qty=1</t>
  </si>
  <si>
    <t>E5 – ContinueShopping</t>
  </si>
  <si>
    <t>CART-009</t>
  </si>
  <si>
    <t>Verify edit from Reviewing (increase qty)</t>
  </si>
  <si>
    <t>1) On Reviewing 
2) Click + for SKU-A</t>
  </si>
  <si>
    <t>Qty increases; totals update; state → HasItems (or stays Reviewing if inline, tùy UX)</t>
  </si>
  <si>
    <t>A qty=2→3</t>
  </si>
  <si>
    <t>E5 – EditFromReview (UpdateQty)</t>
  </si>
  <si>
    <t>CART-010</t>
  </si>
  <si>
    <t>Verify ClearCart from Reviewing</t>
  </si>
  <si>
    <t>1) On Reviewing 
2) Click Clear Cart 
3) Confirm</t>
  </si>
  <si>
    <t>Cart empty; total=0; state → Empty</t>
  </si>
  <si>
    <t>Any lines</t>
  </si>
  <si>
    <t>E6 – ClearFromReview</t>
  </si>
  <si>
    <t>CART-011</t>
  </si>
  <si>
    <t>Verify ConfirmCart goes to Checkout</t>
  </si>
  <si>
    <t>1) On Reviewing with total&gt;0 
2) Click Confirm/Checkout</t>
  </si>
  <si>
    <t>Navigate to Checkout; carry snapshot of cart; state Checkout</t>
  </si>
  <si>
    <t>E7 – ConfirmCart (happy)</t>
  </si>
  <si>
    <t>CART-012</t>
  </si>
  <si>
    <t>Verify ConfirmCart is blocked when cart empty (negative)</t>
  </si>
  <si>
    <t>1) Ensure Empty 
2) Hit /checkout or click Confirm via deep link</t>
  </si>
  <si>
    <t>Stay in Empty (or redirected to catalog); show “Cart is empty”; no checkout session created</t>
  </si>
  <si>
    <t>—</t>
  </si>
  <si>
    <t>Invalid transition</t>
  </si>
  <si>
    <t>TEST REPORT</t>
  </si>
  <si>
    <t>Project Name</t>
  </si>
  <si>
    <t>Counter Sales System – BlackBox Test Cases</t>
  </si>
  <si>
    <t>Creator</t>
  </si>
  <si>
    <t>Kim Sen, Lan Anh, Mỹ Duyên</t>
  </si>
  <si>
    <t>Project Code</t>
  </si>
  <si>
    <t>CS-BB-2025</t>
  </si>
  <si>
    <t>Reviewer/Approver</t>
  </si>
  <si>
    <t>Thầy Đỗ Như Tài</t>
  </si>
  <si>
    <t>Document Code</t>
  </si>
  <si>
    <t>Issue Date</t>
  </si>
  <si>
    <t>23/10/2025</t>
  </si>
  <si>
    <t>Notes</t>
  </si>
  <si>
    <t>This release includes 2 modules:
• Module1 – Product Number Validation
• Module2 – Profit Margin Calculation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</si>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</sst>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13">
    <font>
      <sz val="11.0"/>
      <color rgb="FF000000"/>
      <name val="MS PGothic"/>
      <scheme val="minor"/>
    </font>
    <font>
      <sz val="12.0"/>
      <color rgb="FF000000"/>
      <name val="Tahoma"/>
    </font>
    <font>
      <sz val="12.0"/>
      <color theme="1"/>
      <name val="Tahoma"/>
    </font>
    <font>
      <b/>
      <sz val="12.0"/>
      <color theme="1"/>
      <name val="Tahoma"/>
    </font>
    <font>
      <sz val="12.0"/>
      <color rgb="FFFF0000"/>
      <name val="Tahoma"/>
    </font>
    <font>
      <i/>
      <sz val="12.0"/>
      <color rgb="FF008000"/>
      <name val="Tahoma"/>
    </font>
    <font/>
    <font>
      <b/>
      <sz val="12.0"/>
      <color rgb="FF000000"/>
      <name val="Tahoma"/>
    </font>
    <font>
      <b/>
      <sz val="12.0"/>
      <color rgb="FFFFFFFF"/>
      <name val="Tahoma"/>
    </font>
    <font>
      <b/>
      <sz val="12.0"/>
      <color rgb="FFFF0000"/>
      <name val="Tahoma"/>
    </font>
    <font>
      <b/>
      <sz val="12.0"/>
      <color rgb="FF993300"/>
      <name val="Tahoma"/>
    </font>
    <font>
      <sz val="12.0"/>
      <color rgb="FFFFFFFF"/>
      <name val="Tahoma"/>
    </font>
    <font>
      <b/>
      <sz val="12.0"/>
      <color rgb="FF0000FF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37">
    <border/>
    <border>
      <left/>
      <right/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4" fillId="2" fontId="5" numFmtId="0" xfId="0" applyAlignment="1" applyBorder="1" applyFont="1">
      <alignment horizontal="left" readingOrder="0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2" fontId="3" numFmtId="0" xfId="0" applyAlignment="1" applyBorder="1" applyFont="1">
      <alignment horizontal="left" shrinkToFit="0" vertical="center" wrapText="1"/>
    </xf>
    <xf borderId="8" fillId="2" fontId="5" numFmtId="0" xfId="0" applyAlignment="1" applyBorder="1" applyFont="1">
      <alignment horizontal="left" readingOrder="0" shrinkToFit="0" vertical="center" wrapText="1"/>
    </xf>
    <xf borderId="9" fillId="0" fontId="6" numFmtId="0" xfId="0" applyBorder="1" applyFont="1"/>
    <xf borderId="10" fillId="0" fontId="6" numFmtId="0" xfId="0" applyBorder="1" applyFont="1"/>
    <xf borderId="2" fillId="2" fontId="7" numFmtId="0" xfId="0" applyAlignment="1" applyBorder="1" applyFont="1">
      <alignment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17" fillId="0" fontId="6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11" fillId="3" fontId="8" numFmtId="0" xfId="0" applyAlignment="1" applyBorder="1" applyFill="1" applyFont="1">
      <alignment horizontal="center" shrinkToFit="0" vertical="center" wrapText="1"/>
    </xf>
    <xf borderId="18" fillId="3" fontId="8" numFmtId="0" xfId="0" applyAlignment="1" applyBorder="1" applyFont="1">
      <alignment horizontal="center" shrinkToFit="0" vertical="center" wrapText="1"/>
    </xf>
    <xf borderId="19" fillId="2" fontId="9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shrinkToFit="0" vertical="center" wrapText="1"/>
    </xf>
    <xf borderId="13" fillId="2" fontId="1" numFmtId="0" xfId="0" applyAlignment="1" applyBorder="1" applyFont="1">
      <alignment horizontal="left" shrinkToFit="0" vertical="center" wrapText="1"/>
    </xf>
    <xf borderId="13" fillId="2" fontId="1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ont="1">
      <alignment shrinkToFit="0" vertical="bottom" wrapText="0"/>
    </xf>
    <xf borderId="20" fillId="2" fontId="7" numFmtId="0" xfId="0" applyAlignment="1" applyBorder="1" applyFont="1">
      <alignment horizontal="center" shrinkToFit="0" vertical="bottom" wrapText="0"/>
    </xf>
    <xf borderId="21" fillId="0" fontId="6" numFmtId="0" xfId="0" applyBorder="1" applyFont="1"/>
    <xf borderId="22" fillId="0" fontId="6" numFmtId="0" xfId="0" applyBorder="1" applyFont="1"/>
    <xf borderId="2" fillId="2" fontId="3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shrinkToFit="0" vertical="bottom" wrapText="0"/>
    </xf>
    <xf borderId="11" fillId="2" fontId="10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left" readingOrder="0" shrinkToFit="0" vertical="bottom" wrapText="1"/>
    </xf>
    <xf borderId="23" fillId="0" fontId="6" numFmtId="0" xfId="0" applyBorder="1" applyFont="1"/>
    <xf borderId="4" fillId="2" fontId="10" numFmtId="0" xfId="0" applyAlignment="1" applyBorder="1" applyFont="1">
      <alignment horizontal="left" shrinkToFit="0" vertical="bottom" wrapText="0"/>
    </xf>
    <xf borderId="24" fillId="2" fontId="10" numFmtId="0" xfId="0" applyAlignment="1" applyBorder="1" applyFont="1">
      <alignment horizontal="left" shrinkToFit="0" vertical="bottom" wrapText="0"/>
    </xf>
    <xf borderId="23" fillId="0" fontId="2" numFmtId="0" xfId="0" applyAlignment="1" applyBorder="1" applyFont="1">
      <alignment readingOrder="0" shrinkToFit="0" vertical="bottom" wrapText="1"/>
    </xf>
    <xf borderId="11" fillId="2" fontId="10" numFmtId="0" xfId="0" applyAlignment="1" applyBorder="1" applyFont="1">
      <alignment shrinkToFit="0" vertical="center" wrapText="0"/>
    </xf>
    <xf borderId="4" fillId="2" fontId="5" numFmtId="0" xfId="0" applyAlignment="1" applyBorder="1" applyFont="1">
      <alignment horizontal="left" shrinkToFit="0" vertical="bottom" wrapText="0"/>
    </xf>
    <xf borderId="23" fillId="0" fontId="5" numFmtId="0" xfId="0" applyAlignment="1" applyBorder="1" applyFont="1">
      <alignment horizontal="left" readingOrder="0" shrinkToFit="0" vertical="bottom" wrapText="1"/>
    </xf>
    <xf borderId="4" fillId="2" fontId="5" numFmtId="0" xfId="0" applyAlignment="1" applyBorder="1" applyFont="1">
      <alignment readingOrder="0" shrinkToFit="0" vertical="top" wrapText="0"/>
    </xf>
    <xf borderId="2" fillId="2" fontId="10" numFmtId="0" xfId="0" applyAlignment="1" applyBorder="1" applyFont="1">
      <alignment shrinkToFit="0" vertical="bottom" wrapText="0"/>
    </xf>
    <xf borderId="2" fillId="2" fontId="5" numFmtId="0" xfId="0" applyAlignment="1" applyBorder="1" applyFont="1">
      <alignment shrinkToFit="0" vertical="bottom" wrapText="0"/>
    </xf>
    <xf borderId="25" fillId="2" fontId="2" numFmtId="0" xfId="0" applyAlignment="1" applyBorder="1" applyFont="1">
      <alignment shrinkToFit="0" vertical="bottom" wrapText="0"/>
    </xf>
    <xf borderId="26" fillId="3" fontId="8" numFmtId="0" xfId="0" applyAlignment="1" applyBorder="1" applyFont="1">
      <alignment horizontal="center" shrinkToFit="0" vertical="bottom" wrapText="0"/>
    </xf>
    <xf borderId="27" fillId="3" fontId="8" numFmtId="0" xfId="0" applyAlignment="1" applyBorder="1" applyFont="1">
      <alignment horizontal="center" shrinkToFit="0" vertical="bottom" wrapText="0"/>
    </xf>
    <xf borderId="27" fillId="3" fontId="8" numFmtId="0" xfId="0" applyAlignment="1" applyBorder="1" applyFont="1">
      <alignment horizontal="center" shrinkToFit="0" vertical="bottom" wrapText="1"/>
    </xf>
    <xf borderId="28" fillId="3" fontId="8" numFmtId="0" xfId="0" applyAlignment="1" applyBorder="1" applyFont="1">
      <alignment horizontal="center" shrinkToFit="0" vertical="bottom" wrapText="0"/>
    </xf>
    <xf borderId="29" fillId="3" fontId="8" numFmtId="0" xfId="0" applyAlignment="1" applyBorder="1" applyFont="1">
      <alignment horizontal="center" shrinkToFit="0" vertical="bottom" wrapText="1"/>
    </xf>
    <xf borderId="30" fillId="2" fontId="2" numFmtId="0" xfId="0" applyAlignment="1" applyBorder="1" applyFont="1">
      <alignment horizontal="center" shrinkToFit="0" vertical="bottom" wrapText="0"/>
    </xf>
    <xf borderId="31" fillId="2" fontId="2" numFmtId="0" xfId="0" applyAlignment="1" applyBorder="1" applyFont="1">
      <alignment shrinkToFit="0" vertical="bottom" wrapText="0"/>
    </xf>
    <xf borderId="31" fillId="2" fontId="2" numFmtId="0" xfId="0" applyAlignment="1" applyBorder="1" applyFont="1">
      <alignment horizontal="center" shrinkToFit="0" vertical="bottom" wrapText="0"/>
    </xf>
    <xf borderId="32" fillId="2" fontId="2" numFmtId="0" xfId="0" applyAlignment="1" applyBorder="1" applyFont="1">
      <alignment horizontal="center" shrinkToFit="0" vertical="bottom" wrapText="0"/>
    </xf>
    <xf borderId="33" fillId="2" fontId="2" numFmtId="0" xfId="0" applyAlignment="1" applyBorder="1" applyFont="1">
      <alignment horizontal="center" shrinkToFit="0" vertical="bottom" wrapText="0"/>
    </xf>
    <xf borderId="34" fillId="3" fontId="11" numFmtId="0" xfId="0" applyAlignment="1" applyBorder="1" applyFont="1">
      <alignment horizontal="center" shrinkToFit="0" vertical="bottom" wrapText="0"/>
    </xf>
    <xf borderId="35" fillId="3" fontId="8" numFmtId="0" xfId="0" applyAlignment="1" applyBorder="1" applyFont="1">
      <alignment shrinkToFit="0" vertical="bottom" wrapText="0"/>
    </xf>
    <xf borderId="35" fillId="3" fontId="11" numFmtId="0" xfId="0" applyAlignment="1" applyBorder="1" applyFont="1">
      <alignment horizontal="center" shrinkToFit="0" vertical="bottom" wrapText="0"/>
    </xf>
    <xf borderId="36" fillId="3" fontId="11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2" fillId="2" fontId="2" numFmtId="10" xfId="0" applyAlignment="1" applyBorder="1" applyFont="1" applyNumberFormat="1">
      <alignment horizontal="center" shrinkToFit="0" vertical="bottom" wrapText="0"/>
    </xf>
    <xf borderId="2" fillId="2" fontId="2" numFmtId="9" xfId="0" applyAlignment="1" applyBorder="1" applyFont="1" applyNumberFormat="1">
      <alignment horizontal="center" shrinkToFit="0" vertical="bottom" wrapText="0"/>
    </xf>
    <xf borderId="2" fillId="2" fontId="10" numFmtId="0" xfId="0" applyAlignment="1" applyBorder="1" applyFont="1">
      <alignment horizontal="left" shrinkToFit="0" vertical="bottom" wrapText="0"/>
    </xf>
    <xf borderId="2" fillId="2" fontId="12" numFmtId="2" xfId="0" applyAlignment="1" applyBorder="1" applyFont="1" applyNumberFormat="1">
      <alignment horizontal="right" shrinkToFit="0" vertical="bottom" wrapText="1"/>
    </xf>
    <xf borderId="2" fillId="2" fontId="1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3.5"/>
    <col customWidth="1" min="2" max="2" width="21.25"/>
    <col customWidth="1" min="3" max="3" width="32.13"/>
    <col customWidth="1" min="4" max="4" width="28.5"/>
    <col customWidth="1" min="5" max="5" width="22.75"/>
    <col customWidth="1" min="6" max="6" width="12.13"/>
    <col customWidth="1" min="7" max="7" width="11.75"/>
    <col customWidth="1" min="8" max="8" width="19.88"/>
    <col customWidth="1" min="9" max="9" width="8.25"/>
    <col customWidth="1" hidden="1" min="10" max="10" width="8.0"/>
    <col customWidth="1" min="11" max="26" width="8.0"/>
  </cols>
  <sheetData>
    <row r="1" ht="12.75" customHeight="1">
      <c r="A1" s="1"/>
      <c r="B1" s="1"/>
      <c r="C1" s="1"/>
      <c r="D1" s="1"/>
      <c r="E1" s="1"/>
      <c r="F1" s="2"/>
      <c r="G1" s="3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0" customHeight="1">
      <c r="A2" s="7" t="s">
        <v>0</v>
      </c>
      <c r="B2" s="8" t="s">
        <v>1</v>
      </c>
      <c r="C2" s="9"/>
      <c r="D2" s="9"/>
      <c r="E2" s="9"/>
      <c r="F2" s="10"/>
      <c r="G2" s="4"/>
      <c r="H2" s="4"/>
      <c r="I2" s="5"/>
      <c r="J2" s="6" t="s">
        <v>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7.0" customHeight="1">
      <c r="A3" s="11" t="s">
        <v>3</v>
      </c>
      <c r="B3" s="8" t="s">
        <v>4</v>
      </c>
      <c r="C3" s="9"/>
      <c r="D3" s="9"/>
      <c r="E3" s="9"/>
      <c r="F3" s="10"/>
      <c r="G3" s="4"/>
      <c r="H3" s="4"/>
      <c r="I3" s="5"/>
      <c r="J3" s="6" t="s">
        <v>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" customHeight="1">
      <c r="A4" s="7" t="s">
        <v>6</v>
      </c>
      <c r="B4" s="12" t="s">
        <v>7</v>
      </c>
      <c r="C4" s="13"/>
      <c r="D4" s="13"/>
      <c r="E4" s="13"/>
      <c r="F4" s="14"/>
      <c r="G4" s="4"/>
      <c r="H4" s="4"/>
      <c r="I4" s="5"/>
      <c r="J4" s="1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16" t="s">
        <v>2</v>
      </c>
      <c r="B5" s="17" t="s">
        <v>5</v>
      </c>
      <c r="C5" s="17" t="s">
        <v>8</v>
      </c>
      <c r="D5" s="18" t="s">
        <v>9</v>
      </c>
      <c r="E5" s="19" t="s">
        <v>10</v>
      </c>
      <c r="F5" s="10"/>
      <c r="G5" s="20"/>
      <c r="H5" s="20"/>
      <c r="I5" s="21"/>
      <c r="J5" s="6" t="s">
        <v>11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22">
        <f>COUNTIF(F9:F986,"Pass")</f>
        <v>0</v>
      </c>
      <c r="B6" s="23">
        <f>COUNTIF(F9:F986,"Fail")</f>
        <v>0</v>
      </c>
      <c r="C6" s="23">
        <f>E6-D6-B6-A6</f>
        <v>12</v>
      </c>
      <c r="D6" s="24">
        <f>COUNTIF(F$9:F$986,"N/A")</f>
        <v>0</v>
      </c>
      <c r="E6" s="25">
        <f>COUNTA(A9:A986)</f>
        <v>12</v>
      </c>
      <c r="F6" s="26"/>
      <c r="G6" s="20"/>
      <c r="H6" s="20"/>
      <c r="I6" s="21"/>
      <c r="J6" s="6" t="s">
        <v>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6"/>
      <c r="B7" s="6"/>
      <c r="C7" s="6"/>
      <c r="D7" s="27"/>
      <c r="E7" s="27"/>
      <c r="F7" s="20"/>
      <c r="G7" s="20"/>
      <c r="H7" s="20"/>
      <c r="I7" s="21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5.5" customHeight="1">
      <c r="A8" s="28" t="s">
        <v>12</v>
      </c>
      <c r="B8" s="28" t="s">
        <v>13</v>
      </c>
      <c r="C8" s="28" t="s">
        <v>14</v>
      </c>
      <c r="D8" s="28" t="s">
        <v>15</v>
      </c>
      <c r="E8" s="29" t="s">
        <v>16</v>
      </c>
      <c r="F8" s="29" t="s">
        <v>17</v>
      </c>
      <c r="G8" s="29" t="s">
        <v>16</v>
      </c>
      <c r="H8" s="28" t="s">
        <v>18</v>
      </c>
      <c r="I8" s="30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22" t="s">
        <v>19</v>
      </c>
      <c r="B9" s="32" t="s">
        <v>20</v>
      </c>
      <c r="C9" s="33" t="s">
        <v>21</v>
      </c>
      <c r="D9" s="32" t="s">
        <v>22</v>
      </c>
      <c r="E9" s="32" t="s">
        <v>23</v>
      </c>
      <c r="F9" s="32" t="s">
        <v>8</v>
      </c>
      <c r="G9" s="32"/>
      <c r="H9" s="32" t="s">
        <v>24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 t="s">
        <v>25</v>
      </c>
      <c r="B10" s="32" t="s">
        <v>26</v>
      </c>
      <c r="C10" s="33" t="s">
        <v>27</v>
      </c>
      <c r="D10" s="32" t="s">
        <v>28</v>
      </c>
      <c r="E10" s="32" t="s">
        <v>29</v>
      </c>
      <c r="F10" s="32" t="s">
        <v>8</v>
      </c>
      <c r="G10" s="32"/>
      <c r="H10" s="32" t="s">
        <v>30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 t="s">
        <v>31</v>
      </c>
      <c r="B11" s="32" t="s">
        <v>32</v>
      </c>
      <c r="C11" s="33" t="s">
        <v>33</v>
      </c>
      <c r="D11" s="32" t="s">
        <v>34</v>
      </c>
      <c r="E11" s="32" t="s">
        <v>35</v>
      </c>
      <c r="F11" s="32" t="s">
        <v>8</v>
      </c>
      <c r="G11" s="32"/>
      <c r="H11" s="32" t="s">
        <v>36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 t="s">
        <v>37</v>
      </c>
      <c r="B12" s="32" t="s">
        <v>38</v>
      </c>
      <c r="C12" s="33" t="s">
        <v>39</v>
      </c>
      <c r="D12" s="32" t="s">
        <v>40</v>
      </c>
      <c r="E12" s="32" t="s">
        <v>41</v>
      </c>
      <c r="F12" s="32" t="s">
        <v>8</v>
      </c>
      <c r="G12" s="32"/>
      <c r="H12" s="32" t="s">
        <v>42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 t="s">
        <v>43</v>
      </c>
      <c r="B13" s="32" t="s">
        <v>44</v>
      </c>
      <c r="C13" s="33" t="s">
        <v>45</v>
      </c>
      <c r="D13" s="32" t="s">
        <v>46</v>
      </c>
      <c r="E13" s="32" t="s">
        <v>47</v>
      </c>
      <c r="F13" s="32" t="s">
        <v>8</v>
      </c>
      <c r="G13" s="32"/>
      <c r="H13" s="32" t="s">
        <v>48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 t="s">
        <v>49</v>
      </c>
      <c r="B14" s="32" t="s">
        <v>50</v>
      </c>
      <c r="C14" s="33" t="s">
        <v>51</v>
      </c>
      <c r="D14" s="32" t="s">
        <v>52</v>
      </c>
      <c r="E14" s="32" t="s">
        <v>53</v>
      </c>
      <c r="F14" s="32" t="s">
        <v>8</v>
      </c>
      <c r="G14" s="32"/>
      <c r="H14" s="32" t="s">
        <v>54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 t="s">
        <v>55</v>
      </c>
      <c r="B15" s="32" t="s">
        <v>56</v>
      </c>
      <c r="C15" s="32" t="s">
        <v>57</v>
      </c>
      <c r="D15" s="32" t="s">
        <v>58</v>
      </c>
      <c r="E15" s="32" t="s">
        <v>59</v>
      </c>
      <c r="F15" s="32" t="s">
        <v>8</v>
      </c>
      <c r="G15" s="32"/>
      <c r="H15" s="32" t="s">
        <v>60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 t="s">
        <v>61</v>
      </c>
      <c r="B16" s="32" t="s">
        <v>62</v>
      </c>
      <c r="C16" s="33" t="s">
        <v>63</v>
      </c>
      <c r="D16" s="32" t="s">
        <v>64</v>
      </c>
      <c r="E16" s="32" t="s">
        <v>65</v>
      </c>
      <c r="F16" s="32" t="s">
        <v>8</v>
      </c>
      <c r="G16" s="32"/>
      <c r="H16" s="32" t="s">
        <v>66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 t="s">
        <v>67</v>
      </c>
      <c r="B17" s="32" t="s">
        <v>68</v>
      </c>
      <c r="C17" s="33" t="s">
        <v>69</v>
      </c>
      <c r="D17" s="32" t="s">
        <v>70</v>
      </c>
      <c r="E17" s="32" t="s">
        <v>71</v>
      </c>
      <c r="F17" s="32" t="s">
        <v>8</v>
      </c>
      <c r="G17" s="32"/>
      <c r="H17" s="32" t="s">
        <v>72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 t="s">
        <v>73</v>
      </c>
      <c r="B18" s="32" t="s">
        <v>74</v>
      </c>
      <c r="C18" s="33" t="s">
        <v>75</v>
      </c>
      <c r="D18" s="32" t="s">
        <v>76</v>
      </c>
      <c r="E18" s="32" t="s">
        <v>77</v>
      </c>
      <c r="F18" s="32" t="s">
        <v>8</v>
      </c>
      <c r="G18" s="32"/>
      <c r="H18" s="32" t="s">
        <v>78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2.75" customHeight="1">
      <c r="A19" s="22" t="s">
        <v>79</v>
      </c>
      <c r="B19" s="32" t="s">
        <v>80</v>
      </c>
      <c r="C19" s="33" t="s">
        <v>81</v>
      </c>
      <c r="D19" s="32" t="s">
        <v>82</v>
      </c>
      <c r="E19" s="32" t="s">
        <v>41</v>
      </c>
      <c r="F19" s="32" t="s">
        <v>8</v>
      </c>
      <c r="G19" s="32"/>
      <c r="H19" s="32" t="s">
        <v>83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 t="s">
        <v>84</v>
      </c>
      <c r="B20" s="32" t="s">
        <v>85</v>
      </c>
      <c r="C20" s="33" t="s">
        <v>86</v>
      </c>
      <c r="D20" s="32" t="s">
        <v>87</v>
      </c>
      <c r="E20" s="32" t="s">
        <v>88</v>
      </c>
      <c r="F20" s="32" t="s">
        <v>8</v>
      </c>
      <c r="G20" s="32"/>
      <c r="H20" s="32" t="s">
        <v>89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33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5"/>
    <col customWidth="1" min="3" max="3" width="19.38"/>
    <col customWidth="1" min="4" max="7" width="9.0"/>
    <col customWidth="1" min="8" max="8" width="33.13"/>
    <col customWidth="1" min="9" max="26" width="8.0"/>
  </cols>
  <sheetData>
    <row r="1" ht="25.5" customHeight="1">
      <c r="A1" s="34"/>
      <c r="B1" s="35" t="s">
        <v>90</v>
      </c>
      <c r="C1" s="36"/>
      <c r="D1" s="36"/>
      <c r="E1" s="36"/>
      <c r="F1" s="36"/>
      <c r="G1" s="36"/>
      <c r="H1" s="37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4.25" customHeight="1">
      <c r="A2" s="38"/>
      <c r="B2" s="38"/>
      <c r="C2" s="34"/>
      <c r="D2" s="34"/>
      <c r="E2" s="34"/>
      <c r="F2" s="34"/>
      <c r="G2" s="34"/>
      <c r="H2" s="39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2.0" customHeight="1">
      <c r="A3" s="34"/>
      <c r="B3" s="40" t="s">
        <v>91</v>
      </c>
      <c r="C3" s="41" t="s">
        <v>92</v>
      </c>
      <c r="D3" s="42"/>
      <c r="E3" s="43" t="s">
        <v>93</v>
      </c>
      <c r="F3" s="42"/>
      <c r="G3" s="44"/>
      <c r="H3" s="45" t="s">
        <v>94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0" customHeight="1">
      <c r="A4" s="34"/>
      <c r="B4" s="40" t="s">
        <v>95</v>
      </c>
      <c r="C4" s="41" t="s">
        <v>96</v>
      </c>
      <c r="D4" s="42"/>
      <c r="E4" s="43" t="s">
        <v>97</v>
      </c>
      <c r="F4" s="42"/>
      <c r="G4" s="44"/>
      <c r="H4" s="45" t="s">
        <v>98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0" customHeight="1">
      <c r="A5" s="34"/>
      <c r="B5" s="46" t="s">
        <v>99</v>
      </c>
      <c r="C5" s="47" t="str">
        <f>C4&amp;"_"&amp;"Test Report"&amp;"_"&amp;"vx.x"</f>
        <v>CS-BB-2025_Test Report_vx.x</v>
      </c>
      <c r="D5" s="42"/>
      <c r="E5" s="43" t="s">
        <v>100</v>
      </c>
      <c r="F5" s="42"/>
      <c r="G5" s="44"/>
      <c r="H5" s="48" t="s">
        <v>101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8"/>
      <c r="B6" s="46" t="s">
        <v>102</v>
      </c>
      <c r="C6" s="49" t="s">
        <v>103</v>
      </c>
      <c r="D6" s="9"/>
      <c r="E6" s="9"/>
      <c r="F6" s="9"/>
      <c r="G6" s="9"/>
      <c r="H6" s="42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4.25" customHeight="1">
      <c r="A7" s="38"/>
      <c r="B7" s="50"/>
      <c r="C7" s="51"/>
      <c r="D7" s="34"/>
      <c r="E7" s="34"/>
      <c r="F7" s="34"/>
      <c r="G7" s="34"/>
      <c r="H7" s="39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34"/>
      <c r="B8" s="50"/>
      <c r="C8" s="51"/>
      <c r="D8" s="34"/>
      <c r="E8" s="34"/>
      <c r="F8" s="34"/>
      <c r="G8" s="34"/>
      <c r="H8" s="39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2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2.75" customHeight="1">
      <c r="A10" s="52"/>
      <c r="B10" s="53" t="s">
        <v>104</v>
      </c>
      <c r="C10" s="54" t="s">
        <v>105</v>
      </c>
      <c r="D10" s="55" t="s">
        <v>2</v>
      </c>
      <c r="E10" s="54" t="s">
        <v>5</v>
      </c>
      <c r="F10" s="54" t="s">
        <v>8</v>
      </c>
      <c r="G10" s="56" t="s">
        <v>9</v>
      </c>
      <c r="H10" s="57" t="s">
        <v>106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A11" s="52"/>
      <c r="B11" s="58">
        <v>1.0</v>
      </c>
      <c r="C11" s="59" t="str">
        <f>Module1!B2</f>
        <v>Module1 – Product Number Validation</v>
      </c>
      <c r="D11" s="60">
        <f>Module1!A6</f>
        <v>0</v>
      </c>
      <c r="E11" s="60">
        <f>Module1!B6</f>
        <v>0</v>
      </c>
      <c r="F11" s="60">
        <f>Module1!C6</f>
        <v>12</v>
      </c>
      <c r="G11" s="61">
        <f>Module1!D6</f>
        <v>0</v>
      </c>
      <c r="H11" s="62">
        <f>Module1!E6</f>
        <v>12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2.75" customHeight="1">
      <c r="A12" s="52"/>
      <c r="B12" s="58"/>
      <c r="C12" s="59"/>
      <c r="D12" s="60"/>
      <c r="E12" s="60"/>
      <c r="F12" s="60"/>
      <c r="G12" s="61"/>
      <c r="H12" s="62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52"/>
      <c r="B13" s="63"/>
      <c r="C13" s="64" t="s">
        <v>107</v>
      </c>
      <c r="D13" s="65">
        <f t="shared" ref="D13:H13" si="1">SUM(D9:D12)</f>
        <v>0</v>
      </c>
      <c r="E13" s="65">
        <f t="shared" si="1"/>
        <v>0</v>
      </c>
      <c r="F13" s="65">
        <f t="shared" si="1"/>
        <v>12</v>
      </c>
      <c r="G13" s="65">
        <f t="shared" si="1"/>
        <v>0</v>
      </c>
      <c r="H13" s="66">
        <f t="shared" si="1"/>
        <v>12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34"/>
      <c r="B14" s="67"/>
      <c r="C14" s="34"/>
      <c r="D14" s="68"/>
      <c r="E14" s="69"/>
      <c r="F14" s="69"/>
      <c r="G14" s="69"/>
      <c r="H14" s="69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2.75" customHeight="1">
      <c r="A15" s="34"/>
      <c r="B15" s="34"/>
      <c r="C15" s="70" t="s">
        <v>108</v>
      </c>
      <c r="D15" s="34"/>
      <c r="E15" s="71">
        <f>(D13+E13)*100/(H13-G13)</f>
        <v>0</v>
      </c>
      <c r="F15" s="34" t="s">
        <v>109</v>
      </c>
      <c r="G15" s="34"/>
      <c r="H15" s="72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34"/>
      <c r="B16" s="34"/>
      <c r="C16" s="70" t="s">
        <v>110</v>
      </c>
      <c r="D16" s="34"/>
      <c r="E16" s="71">
        <f>D13*100/(H13-G13)</f>
        <v>0</v>
      </c>
      <c r="F16" s="34" t="s">
        <v>109</v>
      </c>
      <c r="G16" s="34"/>
      <c r="H16" s="72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2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2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2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2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2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2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2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